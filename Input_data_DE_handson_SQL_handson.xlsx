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ll_Notes_from_learning\All_Notes_to_Share\"/>
    </mc:Choice>
  </mc:AlternateContent>
  <xr:revisionPtr revIDLastSave="0" documentId="13_ncr:1_{50E4C67F-F590-42CF-8C86-0B9463AC1B00}" xr6:coauthVersionLast="47" xr6:coauthVersionMax="47" xr10:uidLastSave="{00000000-0000-0000-0000-000000000000}"/>
  <bookViews>
    <workbookView xWindow="-120" yWindow="-120" windowWidth="23310" windowHeight="13740" activeTab="1" xr2:uid="{206FDF6F-FA47-4BC2-86A3-889E3E646FC4}"/>
  </bookViews>
  <sheets>
    <sheet name="DDL" sheetId="3" r:id="rId1"/>
    <sheet name="Cust_Tables" sheetId="1" r:id="rId2"/>
    <sheet name="Sales_Tab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38" i="1"/>
  <c r="K37" i="1"/>
  <c r="K36" i="1"/>
  <c r="K35" i="1"/>
  <c r="K34" i="1"/>
  <c r="K33" i="1"/>
  <c r="K32" i="1"/>
</calcChain>
</file>

<file path=xl/sharedStrings.xml><?xml version="1.0" encoding="utf-8"?>
<sst xmlns="http://schemas.openxmlformats.org/spreadsheetml/2006/main" count="163" uniqueCount="96">
  <si>
    <t>emp_id</t>
  </si>
  <si>
    <t>emp_name</t>
  </si>
  <si>
    <t>dept_id</t>
  </si>
  <si>
    <t>manager_id</t>
  </si>
  <si>
    <t>salary</t>
  </si>
  <si>
    <t>Department</t>
  </si>
  <si>
    <t>dept_name</t>
  </si>
  <si>
    <t>join_date</t>
  </si>
  <si>
    <t>user_logins</t>
  </si>
  <si>
    <t>user_id</t>
  </si>
  <si>
    <t>login_Date</t>
  </si>
  <si>
    <t>Sales</t>
  </si>
  <si>
    <t>cust_id</t>
  </si>
  <si>
    <t>sale_id</t>
  </si>
  <si>
    <t>sale_date</t>
  </si>
  <si>
    <t>Customer</t>
  </si>
  <si>
    <t>cust_name</t>
  </si>
  <si>
    <t>cust_phone</t>
  </si>
  <si>
    <t>cust_addr</t>
  </si>
  <si>
    <t>gender</t>
  </si>
  <si>
    <t>Bookings</t>
  </si>
  <si>
    <t>booking_id</t>
  </si>
  <si>
    <t>start_date</t>
  </si>
  <si>
    <t>End_date</t>
  </si>
  <si>
    <t>property_id</t>
  </si>
  <si>
    <t>job_title</t>
  </si>
  <si>
    <t>category_id</t>
  </si>
  <si>
    <t>Salary_history</t>
  </si>
  <si>
    <t>raise_date</t>
  </si>
  <si>
    <t>old_salary</t>
  </si>
  <si>
    <t>new_salary</t>
  </si>
  <si>
    <t>sales_rep</t>
  </si>
  <si>
    <t>salesperson_id</t>
  </si>
  <si>
    <t>salesperson_name</t>
  </si>
  <si>
    <t>prod_id</t>
  </si>
  <si>
    <t>Administration</t>
  </si>
  <si>
    <t>Projects</t>
  </si>
  <si>
    <t>HR</t>
  </si>
  <si>
    <t>Media</t>
  </si>
  <si>
    <t>emp03</t>
  </si>
  <si>
    <t>emp04</t>
  </si>
  <si>
    <t>emp05</t>
  </si>
  <si>
    <t>emp06</t>
  </si>
  <si>
    <t>emp07</t>
  </si>
  <si>
    <t>emp08</t>
  </si>
  <si>
    <t>emp09</t>
  </si>
  <si>
    <t>emp10</t>
  </si>
  <si>
    <t>emp11</t>
  </si>
  <si>
    <t>emp12</t>
  </si>
  <si>
    <t>emp15</t>
  </si>
  <si>
    <t>emp16</t>
  </si>
  <si>
    <t>emp17</t>
  </si>
  <si>
    <t>emp19</t>
  </si>
  <si>
    <t>emp20</t>
  </si>
  <si>
    <t>CEO</t>
  </si>
  <si>
    <t>CXO</t>
  </si>
  <si>
    <t>Adminstaff</t>
  </si>
  <si>
    <t>HR recruitment</t>
  </si>
  <si>
    <t>HR Payroll</t>
  </si>
  <si>
    <t>Digital marketing</t>
  </si>
  <si>
    <t>Media rep</t>
  </si>
  <si>
    <t>Publishing</t>
  </si>
  <si>
    <t>Proj_1_lead</t>
  </si>
  <si>
    <t>Proj_2_lead</t>
  </si>
  <si>
    <t>Management</t>
  </si>
  <si>
    <t>SM_Admin</t>
  </si>
  <si>
    <t>SM_HR</t>
  </si>
  <si>
    <t>SM_Media</t>
  </si>
  <si>
    <t>SM_Projects</t>
  </si>
  <si>
    <t>SM_Sales</t>
  </si>
  <si>
    <t>Sale1</t>
  </si>
  <si>
    <t>Sale2</t>
  </si>
  <si>
    <t>Sale3</t>
  </si>
  <si>
    <t>Sale4</t>
  </si>
  <si>
    <t>M</t>
  </si>
  <si>
    <t>F</t>
  </si>
  <si>
    <t>Insert Statements</t>
  </si>
  <si>
    <t>Employees</t>
  </si>
  <si>
    <t>CREATE TABLE employees (emp_id INT PRIMARY KEY, emp_name VARCHAR(100) NOT NULL, dept_id INT, job_title VARCHAR(100), manager_id INT, join_date DATE, salary DECIMAL(12,2), gender CHAR(1));</t>
  </si>
  <si>
    <t>Database</t>
  </si>
  <si>
    <t>interview</t>
  </si>
  <si>
    <t>Table</t>
  </si>
  <si>
    <t>employees</t>
  </si>
  <si>
    <t>DDL</t>
  </si>
  <si>
    <t>create database interview;</t>
  </si>
  <si>
    <t>emp21</t>
  </si>
  <si>
    <t>emp22</t>
  </si>
  <si>
    <t>Ramesh</t>
  </si>
  <si>
    <t>Suresh</t>
  </si>
  <si>
    <t>Future</t>
  </si>
  <si>
    <t>Dev</t>
  </si>
  <si>
    <t>Tester</t>
  </si>
  <si>
    <t>emp23</t>
  </si>
  <si>
    <t>emp24</t>
  </si>
  <si>
    <t>Housekeeping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</si>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</sst>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0" borderId="1" xfId="0" applyBorder="1"/>
    <xf numFmtId="0" fontId="1" fillId="4" borderId="0" xfId="0" applyFont="1" applyFill="1"/>
    <xf numFmtId="165" fontId="0" fillId="0" borderId="1" xfId="0" applyNumberFormat="1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0" borderId="0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3CCC-EAB1-416C-A476-0F192CAEA664}">
  <dimension ref="A1:C3"/>
  <sheetViews>
    <sheetView workbookViewId="0">
      <selection activeCell="C3" sqref="C3"/>
    </sheetView>
  </sheetViews>
  <sheetFormatPr defaultRowHeight="15" x14ac:dyDescent="0.25"/>
  <cols>
    <col min="1" max="1" width="13.7109375" customWidth="1"/>
    <col min="2" max="2" width="14.140625" customWidth="1"/>
    <col min="3" max="3" width="133.140625" customWidth="1"/>
  </cols>
  <sheetData>
    <row r="1" spans="1:3" x14ac:dyDescent="0.25">
      <c r="A1" t="s">
        <v>79</v>
      </c>
      <c r="B1" t="s">
        <v>81</v>
      </c>
      <c r="C1" t="s">
        <v>83</v>
      </c>
    </row>
    <row r="2" spans="1:3" x14ac:dyDescent="0.25">
      <c r="A2" t="s">
        <v>80</v>
      </c>
      <c r="C2" t="s">
        <v>84</v>
      </c>
    </row>
    <row r="3" spans="1:3" x14ac:dyDescent="0.25">
      <c r="A3" t="s">
        <v>80</v>
      </c>
      <c r="B3" t="s">
        <v>82</v>
      </c>
      <c r="C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A317-687F-48AA-BF11-BD28920B8B88}">
  <dimension ref="A1:K80"/>
  <sheetViews>
    <sheetView tabSelected="1" topLeftCell="A51" workbookViewId="0">
      <selection activeCell="C55" sqref="C55"/>
    </sheetView>
  </sheetViews>
  <sheetFormatPr defaultRowHeight="15" x14ac:dyDescent="0.25"/>
  <cols>
    <col min="1" max="1" width="9.85546875" bestFit="1" customWidth="1"/>
    <col min="2" max="2" width="11" bestFit="1" customWidth="1"/>
    <col min="3" max="3" width="11.42578125" customWidth="1"/>
    <col min="4" max="5" width="11.42578125" bestFit="1" customWidth="1"/>
    <col min="6" max="6" width="13" customWidth="1"/>
    <col min="7" max="7" width="14.140625" customWidth="1"/>
    <col min="11" max="11" width="24" customWidth="1"/>
  </cols>
  <sheetData>
    <row r="1" spans="1:11" x14ac:dyDescent="0.25">
      <c r="A1" s="2" t="s">
        <v>77</v>
      </c>
      <c r="B1" s="1"/>
      <c r="C1" s="1"/>
      <c r="D1" s="1"/>
      <c r="E1" s="1"/>
      <c r="F1" s="1"/>
      <c r="G1" s="1"/>
    </row>
    <row r="2" spans="1:11" x14ac:dyDescent="0.25">
      <c r="B2" s="4" t="s">
        <v>0</v>
      </c>
      <c r="C2" s="4" t="s">
        <v>1</v>
      </c>
      <c r="D2" s="4" t="s">
        <v>2</v>
      </c>
      <c r="E2" s="4" t="s">
        <v>25</v>
      </c>
      <c r="F2" s="4" t="s">
        <v>3</v>
      </c>
      <c r="G2" s="4" t="s">
        <v>7</v>
      </c>
      <c r="H2" s="4" t="s">
        <v>4</v>
      </c>
      <c r="I2" s="4" t="s">
        <v>19</v>
      </c>
      <c r="K2" s="6" t="s">
        <v>76</v>
      </c>
    </row>
    <row r="3" spans="1:11" x14ac:dyDescent="0.25">
      <c r="B3" s="5">
        <v>1</v>
      </c>
      <c r="C3" s="5" t="s">
        <v>54</v>
      </c>
      <c r="D3" s="5">
        <v>1</v>
      </c>
      <c r="E3" s="5" t="s">
        <v>54</v>
      </c>
      <c r="F3" s="5"/>
      <c r="G3" s="7">
        <v>37987</v>
      </c>
      <c r="H3" s="14">
        <v>5000000</v>
      </c>
      <c r="I3" s="5" t="s">
        <v>74</v>
      </c>
      <c r="K3" t="str">
        <f>"INSERT INTO employees (emp_id, emp_name, dept_id, job_title, manager_id, join_date, salary, gender) VALUES ("&amp;B3&amp;", '"&amp;C3&amp;"', "&amp;IF(D3="","NULL",D3)&amp;", '"&amp;E3&amp;"', "&amp;IF(F3="","NULL",F3)&amp;", '"&amp;TEXT(G3,"yyyy-mm-dd")&amp;"', "&amp;H3&amp;", '"&amp;IF(I3="","NULL",I3)&amp;"');"</f>
        <v>INSERT INTO employees (emp_id, emp_name, dept_id, job_title, manager_id, join_date, salary, gender) VALUES (1, 'CEO', 1, 'CEO', NULL, '2004-01-01', 5000000, 'M');</v>
      </c>
    </row>
    <row r="4" spans="1:11" x14ac:dyDescent="0.25">
      <c r="B4" s="5">
        <v>2</v>
      </c>
      <c r="C4" s="5" t="s">
        <v>55</v>
      </c>
      <c r="D4" s="5">
        <v>1</v>
      </c>
      <c r="E4" s="5" t="s">
        <v>55</v>
      </c>
      <c r="F4" s="5">
        <v>1</v>
      </c>
      <c r="G4" s="7">
        <v>41640</v>
      </c>
      <c r="H4" s="10">
        <v>3000000</v>
      </c>
      <c r="I4" s="5" t="s">
        <v>75</v>
      </c>
      <c r="K4" t="str">
        <f t="shared" ref="K4:K28" si="0">"INSERT INTO employees (emp_id, emp_name, dept_id, job_title, manager_id, join_date, salary, gender) VALUES ("&amp;B4&amp;", '"&amp;C4&amp;"', "&amp;IF(D4="","NULL",D4)&amp;", '"&amp;E4&amp;"', "&amp;IF(F4="","NULL",F4)&amp;", '"&amp;TEXT(G4,"yyyy-mm-dd")&amp;"', "&amp;H4&amp;", '"&amp;IF(I4="","NULL",I4)&amp;"');"</f>
        <v>INSERT INTO employees (emp_id, emp_name, dept_id, job_title, manager_id, join_date, salary, gender) VALUES (2, 'CXO', 1, 'CXO', 1, '2014-01-01', 3000000, 'F');</v>
      </c>
    </row>
    <row r="5" spans="1:11" x14ac:dyDescent="0.25">
      <c r="B5" s="5">
        <v>11</v>
      </c>
      <c r="C5" s="9" t="s">
        <v>87</v>
      </c>
      <c r="D5" s="5">
        <v>100</v>
      </c>
      <c r="E5" s="5" t="s">
        <v>65</v>
      </c>
      <c r="F5" s="5">
        <v>2</v>
      </c>
      <c r="G5" s="7">
        <v>42370</v>
      </c>
      <c r="H5" s="5">
        <v>2000000</v>
      </c>
      <c r="I5" s="5" t="s">
        <v>74</v>
      </c>
      <c r="K5" t="str">
        <f t="shared" si="0"/>
        <v>INSERT INTO employees (emp_id, emp_name, dept_id, job_title, manager_id, join_date, salary, gender) VALUES (11, 'Ramesh', 100, 'SM_Admin', 2, '2016-01-01', 2000000, 'M');</v>
      </c>
    </row>
    <row r="6" spans="1:11" x14ac:dyDescent="0.25">
      <c r="B6" s="5">
        <v>22</v>
      </c>
      <c r="C6" s="9" t="s">
        <v>88</v>
      </c>
      <c r="D6" s="5">
        <v>200</v>
      </c>
      <c r="E6" s="5" t="s">
        <v>66</v>
      </c>
      <c r="F6" s="5">
        <v>2</v>
      </c>
      <c r="G6" s="7">
        <v>42005</v>
      </c>
      <c r="H6" s="5">
        <v>2100000</v>
      </c>
      <c r="I6" s="5" t="s">
        <v>74</v>
      </c>
      <c r="K6" t="str">
        <f t="shared" si="0"/>
        <v>INSERT INTO employees (emp_id, emp_name, dept_id, job_title, manager_id, join_date, salary, gender) VALUES (22, 'Suresh', 200, 'SM_HR', 2, '2015-01-01', 2100000, 'M');</v>
      </c>
    </row>
    <row r="7" spans="1:11" x14ac:dyDescent="0.25">
      <c r="B7" s="5">
        <v>33</v>
      </c>
      <c r="C7" s="5" t="s">
        <v>39</v>
      </c>
      <c r="D7" s="5">
        <v>300</v>
      </c>
      <c r="E7" s="5" t="s">
        <v>67</v>
      </c>
      <c r="F7" s="5">
        <v>2</v>
      </c>
      <c r="G7" s="7">
        <v>41640</v>
      </c>
      <c r="H7" s="5">
        <v>2200000</v>
      </c>
      <c r="I7" s="5" t="s">
        <v>75</v>
      </c>
      <c r="K7" t="str">
        <f t="shared" si="0"/>
        <v>INSERT INTO employees (emp_id, emp_name, dept_id, job_title, manager_id, join_date, salary, gender) VALUES (33, 'emp03', 300, 'SM_Media', 2, '2014-01-01', 2200000, 'F');</v>
      </c>
    </row>
    <row r="8" spans="1:11" x14ac:dyDescent="0.25">
      <c r="B8" s="5">
        <v>44</v>
      </c>
      <c r="C8" s="5" t="s">
        <v>40</v>
      </c>
      <c r="D8" s="5">
        <v>400</v>
      </c>
      <c r="E8" s="5" t="s">
        <v>69</v>
      </c>
      <c r="F8" s="5">
        <v>2</v>
      </c>
      <c r="G8" s="7">
        <v>37987</v>
      </c>
      <c r="H8" s="13">
        <v>2300000</v>
      </c>
      <c r="I8" s="5" t="s">
        <v>74</v>
      </c>
      <c r="K8" t="str">
        <f t="shared" si="0"/>
        <v>INSERT INTO employees (emp_id, emp_name, dept_id, job_title, manager_id, join_date, salary, gender) VALUES (44, 'emp04', 400, 'SM_Sales', 2, '2004-01-01', 2300000, 'M');</v>
      </c>
    </row>
    <row r="9" spans="1:11" x14ac:dyDescent="0.25">
      <c r="B9" s="8">
        <v>55</v>
      </c>
      <c r="C9" s="5" t="s">
        <v>41</v>
      </c>
      <c r="D9" s="5">
        <v>500</v>
      </c>
      <c r="E9" s="5" t="s">
        <v>68</v>
      </c>
      <c r="F9" s="5">
        <v>2</v>
      </c>
      <c r="G9" s="7">
        <v>38018</v>
      </c>
      <c r="H9" s="8">
        <v>2500000</v>
      </c>
      <c r="I9" s="5" t="s">
        <v>74</v>
      </c>
      <c r="K9" t="str">
        <f t="shared" si="0"/>
        <v>INSERT INTO employees (emp_id, emp_name, dept_id, job_title, manager_id, join_date, salary, gender) VALUES (55, 'emp05', 500, 'SM_Projects', 2, '2004-02-01', 2500000, 'M');</v>
      </c>
    </row>
    <row r="10" spans="1:11" x14ac:dyDescent="0.25">
      <c r="B10" s="5">
        <v>110</v>
      </c>
      <c r="C10" s="5" t="s">
        <v>42</v>
      </c>
      <c r="D10" s="5">
        <v>100</v>
      </c>
      <c r="E10" s="5" t="s">
        <v>56</v>
      </c>
      <c r="F10" s="5">
        <v>11</v>
      </c>
      <c r="G10" s="7">
        <v>44562</v>
      </c>
      <c r="H10" s="5">
        <v>1500000</v>
      </c>
      <c r="I10" s="5" t="s">
        <v>74</v>
      </c>
      <c r="K10" t="str">
        <f t="shared" si="0"/>
        <v>INSERT INTO employees (emp_id, emp_name, dept_id, job_title, manager_id, join_date, salary, gender) VALUES (110, 'emp06', 100, 'Adminstaff', 11, '2022-01-01', 1500000, 'M');</v>
      </c>
    </row>
    <row r="11" spans="1:11" x14ac:dyDescent="0.25">
      <c r="B11" s="5">
        <v>210</v>
      </c>
      <c r="C11" s="5" t="s">
        <v>43</v>
      </c>
      <c r="D11" s="5">
        <v>200</v>
      </c>
      <c r="E11" s="5" t="s">
        <v>57</v>
      </c>
      <c r="F11" s="5">
        <v>22</v>
      </c>
      <c r="G11" s="7">
        <v>42370</v>
      </c>
      <c r="H11" s="5">
        <v>1700000</v>
      </c>
      <c r="I11" s="5" t="s">
        <v>75</v>
      </c>
      <c r="K11" t="str">
        <f t="shared" si="0"/>
        <v>INSERT INTO employees (emp_id, emp_name, dept_id, job_title, manager_id, join_date, salary, gender) VALUES (210, 'emp07', 200, 'HR recruitment', 22, '2016-01-01', 1700000, 'F');</v>
      </c>
    </row>
    <row r="12" spans="1:11" x14ac:dyDescent="0.25">
      <c r="B12" s="5">
        <v>211</v>
      </c>
      <c r="C12" s="5" t="s">
        <v>44</v>
      </c>
      <c r="D12" s="5">
        <v>200</v>
      </c>
      <c r="E12" s="5" t="s">
        <v>58</v>
      </c>
      <c r="F12" s="5">
        <v>22</v>
      </c>
      <c r="G12" s="7">
        <v>44562</v>
      </c>
      <c r="H12" s="5">
        <v>1600000</v>
      </c>
      <c r="I12" s="5" t="s">
        <v>74</v>
      </c>
      <c r="K12" t="str">
        <f t="shared" si="0"/>
        <v>INSERT INTO employees (emp_id, emp_name, dept_id, job_title, manager_id, join_date, salary, gender) VALUES (211, 'emp08', 200, 'HR Payroll', 22, '2022-01-01', 1600000, 'M');</v>
      </c>
    </row>
    <row r="13" spans="1:11" x14ac:dyDescent="0.25">
      <c r="B13" s="5">
        <v>310</v>
      </c>
      <c r="C13" s="5" t="s">
        <v>45</v>
      </c>
      <c r="D13" s="5">
        <v>300</v>
      </c>
      <c r="E13" s="5" t="s">
        <v>59</v>
      </c>
      <c r="F13" s="5">
        <v>33</v>
      </c>
      <c r="G13" s="7">
        <v>40909</v>
      </c>
      <c r="H13" s="5">
        <v>1750000</v>
      </c>
      <c r="I13" s="5" t="s">
        <v>75</v>
      </c>
      <c r="K13" t="str">
        <f t="shared" si="0"/>
        <v>INSERT INTO employees (emp_id, emp_name, dept_id, job_title, manager_id, join_date, salary, gender) VALUES (310, 'emp09', 300, 'Digital marketing', 33, '2012-01-01', 1750000, 'F');</v>
      </c>
    </row>
    <row r="14" spans="1:11" x14ac:dyDescent="0.25">
      <c r="B14" s="5">
        <v>311</v>
      </c>
      <c r="C14" s="5" t="s">
        <v>46</v>
      </c>
      <c r="D14" s="5">
        <v>300</v>
      </c>
      <c r="E14" s="5" t="s">
        <v>60</v>
      </c>
      <c r="F14" s="5">
        <v>33</v>
      </c>
      <c r="G14" s="7">
        <v>43831</v>
      </c>
      <c r="H14" s="5">
        <v>1650000</v>
      </c>
      <c r="I14" s="5" t="s">
        <v>74</v>
      </c>
      <c r="K14" t="str">
        <f t="shared" si="0"/>
        <v>INSERT INTO employees (emp_id, emp_name, dept_id, job_title, manager_id, join_date, salary, gender) VALUES (311, 'emp10', 300, 'Media rep', 33, '2020-01-01', 1650000, 'M');</v>
      </c>
    </row>
    <row r="15" spans="1:11" x14ac:dyDescent="0.25">
      <c r="B15" s="5">
        <v>312</v>
      </c>
      <c r="C15" s="5" t="s">
        <v>47</v>
      </c>
      <c r="D15" s="5">
        <v>300</v>
      </c>
      <c r="E15" s="5" t="s">
        <v>61</v>
      </c>
      <c r="F15" s="5">
        <v>33</v>
      </c>
      <c r="G15" s="7">
        <v>45292</v>
      </c>
      <c r="H15" s="5">
        <v>1550000</v>
      </c>
      <c r="I15" s="5" t="s">
        <v>74</v>
      </c>
      <c r="K15" t="str">
        <f t="shared" si="0"/>
        <v>INSERT INTO employees (emp_id, emp_name, dept_id, job_title, manager_id, join_date, salary, gender) VALUES (312, 'emp11', 300, 'Publishing', 33, '2024-01-01', 1550000, 'M');</v>
      </c>
    </row>
    <row r="16" spans="1:11" x14ac:dyDescent="0.25">
      <c r="B16" s="5">
        <v>410</v>
      </c>
      <c r="C16" s="5" t="s">
        <v>48</v>
      </c>
      <c r="D16" s="5">
        <v>400</v>
      </c>
      <c r="E16" s="5" t="s">
        <v>70</v>
      </c>
      <c r="F16" s="5">
        <v>44</v>
      </c>
      <c r="G16" s="7">
        <v>38718</v>
      </c>
      <c r="H16" s="13">
        <v>2300000</v>
      </c>
      <c r="I16" s="5" t="s">
        <v>74</v>
      </c>
      <c r="K16" t="str">
        <f t="shared" si="0"/>
        <v>INSERT INTO employees (emp_id, emp_name, dept_id, job_title, manager_id, join_date, salary, gender) VALUES (410, 'emp12', 400, 'Sale1', 44, '2006-01-01', 2300000, 'M');</v>
      </c>
    </row>
    <row r="17" spans="1:11" x14ac:dyDescent="0.25">
      <c r="B17" s="5">
        <v>411</v>
      </c>
      <c r="C17" s="9" t="s">
        <v>87</v>
      </c>
      <c r="D17" s="5">
        <v>400</v>
      </c>
      <c r="E17" s="5" t="s">
        <v>71</v>
      </c>
      <c r="F17" s="5">
        <v>44</v>
      </c>
      <c r="G17" s="7">
        <v>41275</v>
      </c>
      <c r="H17" s="5">
        <v>1780000</v>
      </c>
      <c r="I17" s="5" t="s">
        <v>74</v>
      </c>
      <c r="K17" t="str">
        <f t="shared" si="0"/>
        <v>INSERT INTO employees (emp_id, emp_name, dept_id, job_title, manager_id, join_date, salary, gender) VALUES (411, 'Ramesh', 400, 'Sale2', 44, '2013-01-01', 1780000, 'M');</v>
      </c>
    </row>
    <row r="18" spans="1:11" x14ac:dyDescent="0.25">
      <c r="B18" s="5">
        <v>412</v>
      </c>
      <c r="C18" s="9" t="s">
        <v>88</v>
      </c>
      <c r="D18" s="5">
        <v>400</v>
      </c>
      <c r="E18" s="5" t="s">
        <v>72</v>
      </c>
      <c r="F18" s="5">
        <v>44</v>
      </c>
      <c r="G18" s="7">
        <v>44562</v>
      </c>
      <c r="H18" s="5">
        <v>1680000</v>
      </c>
      <c r="I18" s="5" t="s">
        <v>74</v>
      </c>
      <c r="K18" t="str">
        <f t="shared" si="0"/>
        <v>INSERT INTO employees (emp_id, emp_name, dept_id, job_title, manager_id, join_date, salary, gender) VALUES (412, 'Suresh', 400, 'Sale3', 44, '2022-01-01', 1680000, 'M');</v>
      </c>
    </row>
    <row r="19" spans="1:11" x14ac:dyDescent="0.25">
      <c r="B19" s="5">
        <v>413</v>
      </c>
      <c r="C19" s="5" t="s">
        <v>49</v>
      </c>
      <c r="D19" s="5">
        <v>400</v>
      </c>
      <c r="E19" s="5" t="s">
        <v>73</v>
      </c>
      <c r="F19" s="5">
        <v>44</v>
      </c>
      <c r="G19" s="7">
        <v>45292</v>
      </c>
      <c r="H19" s="5">
        <v>1580000</v>
      </c>
      <c r="I19" s="5" t="s">
        <v>75</v>
      </c>
      <c r="K19" t="str">
        <f t="shared" si="0"/>
        <v>INSERT INTO employees (emp_id, emp_name, dept_id, job_title, manager_id, join_date, salary, gender) VALUES (413, 'emp15', 400, 'Sale4', 44, '2024-01-01', 1580000, 'F');</v>
      </c>
    </row>
    <row r="20" spans="1:11" x14ac:dyDescent="0.25">
      <c r="B20" s="5">
        <v>510</v>
      </c>
      <c r="C20" s="5" t="s">
        <v>50</v>
      </c>
      <c r="D20" s="5">
        <v>500</v>
      </c>
      <c r="E20" s="5" t="s">
        <v>62</v>
      </c>
      <c r="F20" s="5">
        <v>55</v>
      </c>
      <c r="G20" s="7">
        <v>37987</v>
      </c>
      <c r="H20" s="5">
        <v>2000000</v>
      </c>
      <c r="I20" s="5" t="s">
        <v>74</v>
      </c>
      <c r="K20" t="str">
        <f t="shared" si="0"/>
        <v>INSERT INTO employees (emp_id, emp_name, dept_id, job_title, manager_id, join_date, salary, gender) VALUES (510, 'emp16', 500, 'Proj_1_lead', 55, '2004-01-01', 2000000, 'M');</v>
      </c>
    </row>
    <row r="21" spans="1:11" x14ac:dyDescent="0.25">
      <c r="B21" s="8">
        <v>511</v>
      </c>
      <c r="C21" s="5" t="s">
        <v>51</v>
      </c>
      <c r="D21" s="5">
        <v>500</v>
      </c>
      <c r="E21" s="5" t="s">
        <v>63</v>
      </c>
      <c r="F21" s="8">
        <v>55</v>
      </c>
      <c r="G21" s="7">
        <v>38718</v>
      </c>
      <c r="H21" s="8">
        <v>2700000</v>
      </c>
      <c r="I21" s="5" t="s">
        <v>75</v>
      </c>
      <c r="K21" t="str">
        <f t="shared" si="0"/>
        <v>INSERT INTO employees (emp_id, emp_name, dept_id, job_title, manager_id, join_date, salary, gender) VALUES (511, 'emp17', 500, 'Proj_2_lead', 55, '2006-01-01', 2700000, 'F');</v>
      </c>
    </row>
    <row r="22" spans="1:11" x14ac:dyDescent="0.25">
      <c r="B22" s="5">
        <v>520</v>
      </c>
      <c r="C22" s="9" t="s">
        <v>87</v>
      </c>
      <c r="D22" s="5">
        <v>500</v>
      </c>
      <c r="E22" s="5" t="s">
        <v>90</v>
      </c>
      <c r="F22" s="5">
        <v>510</v>
      </c>
      <c r="G22" s="7">
        <v>42370</v>
      </c>
      <c r="H22" s="5">
        <v>2150000</v>
      </c>
      <c r="I22" s="5" t="s">
        <v>74</v>
      </c>
      <c r="K22" t="str">
        <f t="shared" si="0"/>
        <v>INSERT INTO employees (emp_id, emp_name, dept_id, job_title, manager_id, join_date, salary, gender) VALUES (520, 'Ramesh', 500, 'Dev', 510, '2016-01-01', 2150000, 'M');</v>
      </c>
    </row>
    <row r="23" spans="1:11" x14ac:dyDescent="0.25">
      <c r="B23" s="5">
        <v>521</v>
      </c>
      <c r="C23" s="5" t="s">
        <v>52</v>
      </c>
      <c r="D23" s="5">
        <v>500</v>
      </c>
      <c r="E23" s="5" t="s">
        <v>90</v>
      </c>
      <c r="F23" s="8">
        <v>511</v>
      </c>
      <c r="G23" s="7">
        <v>42736</v>
      </c>
      <c r="H23" s="8">
        <v>2750000</v>
      </c>
      <c r="I23" s="5" t="s">
        <v>75</v>
      </c>
      <c r="K23" t="str">
        <f t="shared" si="0"/>
        <v>INSERT INTO employees (emp_id, emp_name, dept_id, job_title, manager_id, join_date, salary, gender) VALUES (521, 'emp19', 500, 'Dev', 511, '2017-01-01', 2750000, 'F');</v>
      </c>
    </row>
    <row r="24" spans="1:11" x14ac:dyDescent="0.25">
      <c r="B24" s="5">
        <v>522</v>
      </c>
      <c r="C24" s="5" t="s">
        <v>53</v>
      </c>
      <c r="D24" s="5">
        <v>500</v>
      </c>
      <c r="E24" s="5" t="s">
        <v>90</v>
      </c>
      <c r="F24" s="5">
        <v>511</v>
      </c>
      <c r="G24" s="7">
        <v>43101</v>
      </c>
      <c r="H24" s="5">
        <v>1000000</v>
      </c>
      <c r="I24" s="5" t="s">
        <v>74</v>
      </c>
      <c r="K24" t="str">
        <f t="shared" si="0"/>
        <v>INSERT INTO employees (emp_id, emp_name, dept_id, job_title, manager_id, join_date, salary, gender) VALUES (522, 'emp20', 500, 'Dev', 511, '2018-01-01', 1000000, 'M');</v>
      </c>
    </row>
    <row r="25" spans="1:11" x14ac:dyDescent="0.25">
      <c r="B25" s="5">
        <v>523</v>
      </c>
      <c r="C25" s="5" t="s">
        <v>85</v>
      </c>
      <c r="D25" s="5">
        <v>500</v>
      </c>
      <c r="E25" s="5" t="s">
        <v>91</v>
      </c>
      <c r="F25" s="5">
        <v>510</v>
      </c>
      <c r="G25" s="7">
        <v>42370</v>
      </c>
      <c r="H25" s="5">
        <v>1100000</v>
      </c>
      <c r="I25" s="5" t="s">
        <v>74</v>
      </c>
      <c r="K25" t="str">
        <f t="shared" si="0"/>
        <v>INSERT INTO employees (emp_id, emp_name, dept_id, job_title, manager_id, join_date, salary, gender) VALUES (523, 'emp21', 500, 'Tester', 510, '2016-01-01', 1100000, 'M');</v>
      </c>
    </row>
    <row r="26" spans="1:11" x14ac:dyDescent="0.25">
      <c r="B26" s="5">
        <v>524</v>
      </c>
      <c r="C26" s="5" t="s">
        <v>86</v>
      </c>
      <c r="D26" s="5">
        <v>500</v>
      </c>
      <c r="E26" s="5" t="s">
        <v>91</v>
      </c>
      <c r="F26" s="5">
        <v>511</v>
      </c>
      <c r="G26" s="7">
        <v>45658</v>
      </c>
      <c r="H26" s="5">
        <v>1200000</v>
      </c>
      <c r="I26" s="5" t="s">
        <v>75</v>
      </c>
      <c r="K26" t="str">
        <f t="shared" si="0"/>
        <v>INSERT INTO employees (emp_id, emp_name, dept_id, job_title, manager_id, join_date, salary, gender) VALUES (524, 'emp22', 500, 'Tester', 511, '2025-01-01', 1200000, 'F');</v>
      </c>
    </row>
    <row r="27" spans="1:11" x14ac:dyDescent="0.25">
      <c r="B27" s="5">
        <v>1001</v>
      </c>
      <c r="C27" s="5" t="s">
        <v>92</v>
      </c>
      <c r="D27" s="5"/>
      <c r="E27" s="5" t="s">
        <v>94</v>
      </c>
      <c r="F27" s="5">
        <v>11</v>
      </c>
      <c r="G27" s="7">
        <v>45658</v>
      </c>
      <c r="H27" s="5">
        <v>120000</v>
      </c>
      <c r="I27" s="5" t="s">
        <v>74</v>
      </c>
      <c r="K27" t="str">
        <f t="shared" si="0"/>
        <v>INSERT INTO employees (emp_id, emp_name, dept_id, job_title, manager_id, join_date, salary, gender) VALUES (1001, 'emp23', NULL, 'Housekeeping', 11, '2025-01-01', 120000, 'M');</v>
      </c>
    </row>
    <row r="28" spans="1:11" x14ac:dyDescent="0.25">
      <c r="B28" s="5">
        <v>1002</v>
      </c>
      <c r="C28" s="5" t="s">
        <v>93</v>
      </c>
      <c r="D28" s="5"/>
      <c r="E28" s="5" t="s">
        <v>94</v>
      </c>
      <c r="F28" s="5">
        <v>11</v>
      </c>
      <c r="G28" s="7">
        <v>45658</v>
      </c>
      <c r="H28" s="5">
        <v>110000</v>
      </c>
      <c r="I28" s="5" t="s">
        <v>75</v>
      </c>
      <c r="K28" t="str">
        <f t="shared" si="0"/>
        <v>INSERT INTO employees (emp_id, emp_name, dept_id, job_title, manager_id, join_date, salary, gender) VALUES (1002, 'emp24', NULL, 'Housekeeping', 11, '2025-01-01', 110000, 'F');</v>
      </c>
    </row>
    <row r="29" spans="1:11" x14ac:dyDescent="0.25">
      <c r="B29" s="11"/>
      <c r="C29" s="11"/>
      <c r="D29" s="11"/>
      <c r="E29" s="11"/>
      <c r="F29" s="11"/>
      <c r="G29" s="15"/>
      <c r="H29" s="11"/>
      <c r="I29" s="11"/>
    </row>
    <row r="30" spans="1:11" x14ac:dyDescent="0.25">
      <c r="A30" s="2" t="s">
        <v>5</v>
      </c>
      <c r="B30" s="1"/>
      <c r="C30" s="1"/>
      <c r="D30" s="1"/>
      <c r="E30" s="1"/>
      <c r="F30" s="1"/>
      <c r="G30" s="1"/>
    </row>
    <row r="31" spans="1:11" x14ac:dyDescent="0.25">
      <c r="B31" s="4" t="s">
        <v>2</v>
      </c>
      <c r="C31" s="4" t="s">
        <v>6</v>
      </c>
      <c r="K31" s="6" t="s">
        <v>76</v>
      </c>
    </row>
    <row r="32" spans="1:11" x14ac:dyDescent="0.25">
      <c r="B32" s="5">
        <v>1</v>
      </c>
      <c r="C32" s="5" t="s">
        <v>64</v>
      </c>
      <c r="K32" t="str">
        <f>"INSERT INTO departments (dept_id, dept_name) VALUES ("&amp;B32&amp;", '"&amp;C32&amp;"');"</f>
        <v>INSERT INTO departments (dept_id, dept_name) VALUES (1, 'Management');</v>
      </c>
    </row>
    <row r="33" spans="1:11" x14ac:dyDescent="0.25">
      <c r="B33" s="5">
        <v>100</v>
      </c>
      <c r="C33" s="5" t="s">
        <v>35</v>
      </c>
      <c r="K33" t="str">
        <f t="shared" ref="K33:K38" si="1">"INSERT INTO departments (dept_id, dept_name) VALUES ("&amp;B33&amp;", '"&amp;C33&amp;"');"</f>
        <v>INSERT INTO departments (dept_id, dept_name) VALUES (100, 'Administration');</v>
      </c>
    </row>
    <row r="34" spans="1:11" x14ac:dyDescent="0.25">
      <c r="B34" s="5">
        <v>200</v>
      </c>
      <c r="C34" s="5" t="s">
        <v>37</v>
      </c>
      <c r="K34" t="str">
        <f t="shared" si="1"/>
        <v>INSERT INTO departments (dept_id, dept_name) VALUES (200, 'HR');</v>
      </c>
    </row>
    <row r="35" spans="1:11" x14ac:dyDescent="0.25">
      <c r="B35" s="5">
        <v>300</v>
      </c>
      <c r="C35" s="5" t="s">
        <v>38</v>
      </c>
      <c r="K35" t="str">
        <f t="shared" si="1"/>
        <v>INSERT INTO departments (dept_id, dept_name) VALUES (300, 'Media');</v>
      </c>
    </row>
    <row r="36" spans="1:11" x14ac:dyDescent="0.25">
      <c r="B36" s="5">
        <v>400</v>
      </c>
      <c r="C36" s="5" t="s">
        <v>11</v>
      </c>
      <c r="K36" t="str">
        <f t="shared" si="1"/>
        <v>INSERT INTO departments (dept_id, dept_name) VALUES (400, 'Sales');</v>
      </c>
    </row>
    <row r="37" spans="1:11" x14ac:dyDescent="0.25">
      <c r="B37" s="5">
        <v>500</v>
      </c>
      <c r="C37" s="5" t="s">
        <v>36</v>
      </c>
      <c r="K37" t="str">
        <f t="shared" si="1"/>
        <v>INSERT INTO departments (dept_id, dept_name) VALUES (500, 'Projects');</v>
      </c>
    </row>
    <row r="38" spans="1:11" x14ac:dyDescent="0.25">
      <c r="B38" s="12">
        <v>999</v>
      </c>
      <c r="C38" s="12" t="s">
        <v>89</v>
      </c>
      <c r="K38" t="str">
        <f t="shared" si="1"/>
        <v>INSERT INTO departments (dept_id, dept_name) VALUES (999, 'Future');</v>
      </c>
    </row>
    <row r="40" spans="1:11" x14ac:dyDescent="0.25">
      <c r="A40" s="2" t="s">
        <v>27</v>
      </c>
      <c r="B40" s="1"/>
      <c r="C40" s="1"/>
      <c r="D40" s="1"/>
      <c r="E40" s="1"/>
      <c r="F40" s="1"/>
      <c r="G40" s="1"/>
    </row>
    <row r="41" spans="1:11" x14ac:dyDescent="0.25">
      <c r="B41" s="3" t="s">
        <v>0</v>
      </c>
      <c r="C41" s="3" t="s">
        <v>28</v>
      </c>
      <c r="D41" s="3" t="s">
        <v>29</v>
      </c>
      <c r="E41" s="4" t="s">
        <v>30</v>
      </c>
      <c r="J41" s="6" t="s">
        <v>76</v>
      </c>
    </row>
    <row r="42" spans="1:11" x14ac:dyDescent="0.25">
      <c r="B42" s="5">
        <v>1</v>
      </c>
      <c r="C42" s="7">
        <v>37987</v>
      </c>
      <c r="D42" t="s">
        <v>95</v>
      </c>
      <c r="E42" s="5">
        <v>2000000</v>
      </c>
    </row>
    <row r="43" spans="1:11" x14ac:dyDescent="0.25">
      <c r="B43" s="5">
        <v>1</v>
      </c>
      <c r="C43" s="7">
        <v>39814</v>
      </c>
      <c r="D43" s="5">
        <v>2000000</v>
      </c>
      <c r="E43" s="5">
        <v>2300000</v>
      </c>
    </row>
    <row r="44" spans="1:11" x14ac:dyDescent="0.25">
      <c r="B44" s="5">
        <v>1</v>
      </c>
      <c r="C44" s="7">
        <v>41640</v>
      </c>
      <c r="D44" s="5">
        <v>2300000</v>
      </c>
      <c r="E44" s="5">
        <v>3200000</v>
      </c>
    </row>
    <row r="45" spans="1:11" x14ac:dyDescent="0.25">
      <c r="B45" s="5">
        <v>1</v>
      </c>
      <c r="C45" s="7">
        <v>45292</v>
      </c>
      <c r="D45" s="5">
        <v>3200000</v>
      </c>
      <c r="E45" s="5">
        <v>5000000</v>
      </c>
    </row>
    <row r="46" spans="1:11" x14ac:dyDescent="0.25">
      <c r="B46" s="5">
        <v>2</v>
      </c>
      <c r="C46" s="7">
        <v>41640</v>
      </c>
      <c r="D46" t="s">
        <v>95</v>
      </c>
      <c r="E46" s="5">
        <v>1500000</v>
      </c>
    </row>
    <row r="47" spans="1:11" x14ac:dyDescent="0.25">
      <c r="B47" s="5">
        <v>2</v>
      </c>
      <c r="C47" s="7">
        <v>43831</v>
      </c>
      <c r="D47" s="5">
        <v>1500000</v>
      </c>
      <c r="E47" s="5">
        <v>2200000</v>
      </c>
    </row>
    <row r="48" spans="1:11" x14ac:dyDescent="0.25">
      <c r="B48" s="5">
        <v>2</v>
      </c>
      <c r="C48" s="7">
        <v>45658</v>
      </c>
      <c r="D48" s="5">
        <v>2200000</v>
      </c>
      <c r="E48" s="5">
        <v>3000000</v>
      </c>
    </row>
    <row r="49" spans="2:5" x14ac:dyDescent="0.25">
      <c r="B49" s="5">
        <v>11</v>
      </c>
      <c r="C49" s="7">
        <v>42370</v>
      </c>
      <c r="D49" t="s">
        <v>95</v>
      </c>
      <c r="E49" s="5">
        <v>1500000</v>
      </c>
    </row>
    <row r="50" spans="2:5" x14ac:dyDescent="0.25">
      <c r="B50" s="5">
        <v>11</v>
      </c>
      <c r="C50" s="7">
        <v>42370</v>
      </c>
      <c r="D50" s="5">
        <v>1500000</v>
      </c>
      <c r="E50" s="5">
        <v>1750000</v>
      </c>
    </row>
    <row r="51" spans="2:5" x14ac:dyDescent="0.25">
      <c r="B51" s="5">
        <v>11</v>
      </c>
      <c r="C51" s="7">
        <v>42370</v>
      </c>
      <c r="D51" s="5">
        <v>1750000</v>
      </c>
      <c r="E51" s="5">
        <v>2000000</v>
      </c>
    </row>
    <row r="52" spans="2:5" x14ac:dyDescent="0.25">
      <c r="B52" s="5">
        <v>22</v>
      </c>
      <c r="C52" s="7">
        <v>42005</v>
      </c>
      <c r="D52" t="s">
        <v>95</v>
      </c>
      <c r="E52" s="5">
        <v>1600000</v>
      </c>
    </row>
    <row r="53" spans="2:5" x14ac:dyDescent="0.25">
      <c r="B53" s="5">
        <v>22</v>
      </c>
      <c r="C53" s="7">
        <v>43466</v>
      </c>
      <c r="D53" s="5">
        <v>1600000</v>
      </c>
      <c r="E53" s="5">
        <v>1800000</v>
      </c>
    </row>
    <row r="54" spans="2:5" x14ac:dyDescent="0.25">
      <c r="B54" s="5">
        <v>22</v>
      </c>
      <c r="C54" s="7">
        <v>45658</v>
      </c>
      <c r="D54" s="5">
        <v>1800000</v>
      </c>
      <c r="E54" s="5">
        <v>2100000</v>
      </c>
    </row>
    <row r="55" spans="2:5" x14ac:dyDescent="0.25">
      <c r="B55" s="5">
        <v>33</v>
      </c>
      <c r="C55" s="7">
        <v>41640</v>
      </c>
      <c r="D55" t="s">
        <v>95</v>
      </c>
      <c r="E55" s="5">
        <v>2200000</v>
      </c>
    </row>
    <row r="56" spans="2:5" x14ac:dyDescent="0.25">
      <c r="B56" s="5">
        <v>44</v>
      </c>
      <c r="C56" s="7">
        <v>37987</v>
      </c>
      <c r="D56" t="s">
        <v>95</v>
      </c>
      <c r="E56" s="5">
        <v>2300000</v>
      </c>
    </row>
    <row r="57" spans="2:5" x14ac:dyDescent="0.25">
      <c r="B57" s="5">
        <v>55</v>
      </c>
      <c r="C57" s="7">
        <v>38018</v>
      </c>
      <c r="D57" t="s">
        <v>95</v>
      </c>
      <c r="E57" s="5">
        <v>2500000</v>
      </c>
    </row>
    <row r="58" spans="2:5" x14ac:dyDescent="0.25">
      <c r="B58" s="5">
        <v>110</v>
      </c>
      <c r="C58" s="7">
        <v>44562</v>
      </c>
      <c r="D58" t="s">
        <v>95</v>
      </c>
      <c r="E58" s="5">
        <v>1500000</v>
      </c>
    </row>
    <row r="59" spans="2:5" x14ac:dyDescent="0.25">
      <c r="B59" s="5">
        <v>210</v>
      </c>
      <c r="C59" s="7">
        <v>42370</v>
      </c>
      <c r="D59" t="s">
        <v>95</v>
      </c>
      <c r="E59" s="5">
        <v>1700000</v>
      </c>
    </row>
    <row r="60" spans="2:5" x14ac:dyDescent="0.25">
      <c r="B60" s="5">
        <v>211</v>
      </c>
      <c r="C60" s="7">
        <v>44562</v>
      </c>
      <c r="D60" t="s">
        <v>95</v>
      </c>
      <c r="E60" s="5">
        <v>1600000</v>
      </c>
    </row>
    <row r="61" spans="2:5" x14ac:dyDescent="0.25">
      <c r="B61" s="5">
        <v>310</v>
      </c>
      <c r="C61" s="7">
        <v>40909</v>
      </c>
      <c r="D61" t="s">
        <v>95</v>
      </c>
      <c r="E61" s="5">
        <v>1750000</v>
      </c>
    </row>
    <row r="62" spans="2:5" x14ac:dyDescent="0.25">
      <c r="B62" s="5">
        <v>311</v>
      </c>
      <c r="C62" s="7">
        <v>43831</v>
      </c>
      <c r="D62" t="s">
        <v>95</v>
      </c>
      <c r="E62" s="5">
        <v>1650000</v>
      </c>
    </row>
    <row r="63" spans="2:5" x14ac:dyDescent="0.25">
      <c r="B63" s="5">
        <v>312</v>
      </c>
      <c r="C63" s="7">
        <v>45292</v>
      </c>
      <c r="D63" t="s">
        <v>95</v>
      </c>
      <c r="E63" s="5">
        <v>1550000</v>
      </c>
    </row>
    <row r="64" spans="2:5" x14ac:dyDescent="0.25">
      <c r="B64" s="5">
        <v>410</v>
      </c>
      <c r="C64" s="7">
        <v>38718</v>
      </c>
      <c r="D64" t="s">
        <v>95</v>
      </c>
      <c r="E64" s="5">
        <v>2300000</v>
      </c>
    </row>
    <row r="65" spans="1:5" x14ac:dyDescent="0.25">
      <c r="B65" s="5">
        <v>411</v>
      </c>
      <c r="C65" s="7">
        <v>41275</v>
      </c>
      <c r="D65" t="s">
        <v>95</v>
      </c>
      <c r="E65" s="5">
        <v>1780000</v>
      </c>
    </row>
    <row r="66" spans="1:5" x14ac:dyDescent="0.25">
      <c r="B66" s="5">
        <v>412</v>
      </c>
      <c r="C66" s="7">
        <v>44562</v>
      </c>
      <c r="D66" t="s">
        <v>95</v>
      </c>
      <c r="E66" s="5">
        <v>1680000</v>
      </c>
    </row>
    <row r="67" spans="1:5" x14ac:dyDescent="0.25">
      <c r="B67" s="5">
        <v>413</v>
      </c>
      <c r="C67" s="7">
        <v>45292</v>
      </c>
      <c r="D67" t="s">
        <v>95</v>
      </c>
      <c r="E67" s="5">
        <v>1580000</v>
      </c>
    </row>
    <row r="68" spans="1:5" x14ac:dyDescent="0.25">
      <c r="B68" s="5">
        <v>510</v>
      </c>
      <c r="C68" s="7">
        <v>37987</v>
      </c>
      <c r="D68" t="s">
        <v>95</v>
      </c>
      <c r="E68" s="5">
        <v>2000000</v>
      </c>
    </row>
    <row r="69" spans="1:5" x14ac:dyDescent="0.25">
      <c r="B69" s="5">
        <v>511</v>
      </c>
      <c r="C69" s="7">
        <v>38718</v>
      </c>
      <c r="D69" t="s">
        <v>95</v>
      </c>
      <c r="E69" s="5">
        <v>2700000</v>
      </c>
    </row>
    <row r="70" spans="1:5" x14ac:dyDescent="0.25">
      <c r="B70" s="5">
        <v>520</v>
      </c>
      <c r="C70" s="7">
        <v>42370</v>
      </c>
      <c r="D70" t="s">
        <v>95</v>
      </c>
      <c r="E70" s="5">
        <v>2150000</v>
      </c>
    </row>
    <row r="71" spans="1:5" x14ac:dyDescent="0.25">
      <c r="B71" s="5">
        <v>521</v>
      </c>
      <c r="C71" s="7">
        <v>42736</v>
      </c>
      <c r="D71" t="s">
        <v>95</v>
      </c>
      <c r="E71" s="5">
        <v>2750000</v>
      </c>
    </row>
    <row r="72" spans="1:5" x14ac:dyDescent="0.25">
      <c r="B72" s="5">
        <v>522</v>
      </c>
      <c r="C72" s="7">
        <v>43101</v>
      </c>
      <c r="D72" t="s">
        <v>95</v>
      </c>
      <c r="E72" s="5">
        <v>1000000</v>
      </c>
    </row>
    <row r="73" spans="1:5" x14ac:dyDescent="0.25">
      <c r="B73" s="5">
        <v>523</v>
      </c>
      <c r="C73" s="7">
        <v>42370</v>
      </c>
      <c r="D73" t="s">
        <v>95</v>
      </c>
      <c r="E73" s="5">
        <v>1100000</v>
      </c>
    </row>
    <row r="74" spans="1:5" x14ac:dyDescent="0.25">
      <c r="B74" s="5">
        <v>524</v>
      </c>
      <c r="C74" s="7">
        <v>45658</v>
      </c>
      <c r="D74" t="s">
        <v>95</v>
      </c>
      <c r="E74" s="5">
        <v>1200000</v>
      </c>
    </row>
    <row r="75" spans="1:5" x14ac:dyDescent="0.25">
      <c r="B75" s="5">
        <v>1001</v>
      </c>
      <c r="C75" s="7">
        <v>45658</v>
      </c>
      <c r="D75" t="s">
        <v>95</v>
      </c>
      <c r="E75" s="5">
        <v>120000</v>
      </c>
    </row>
    <row r="76" spans="1:5" x14ac:dyDescent="0.25">
      <c r="B76" s="5">
        <v>1002</v>
      </c>
      <c r="C76" s="7">
        <v>45658</v>
      </c>
      <c r="D76" t="s">
        <v>95</v>
      </c>
      <c r="E76" s="5">
        <v>110000</v>
      </c>
    </row>
    <row r="77" spans="1:5" x14ac:dyDescent="0.25">
      <c r="B77" s="11"/>
    </row>
    <row r="78" spans="1:5" x14ac:dyDescent="0.25">
      <c r="B78" s="11"/>
    </row>
    <row r="79" spans="1:5" x14ac:dyDescent="0.25">
      <c r="A79" t="s">
        <v>8</v>
      </c>
    </row>
    <row r="80" spans="1:5" x14ac:dyDescent="0.25">
      <c r="A80" t="s">
        <v>9</v>
      </c>
      <c r="B80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C449-1D1C-42CF-89F2-FA996C663289}">
  <dimension ref="A1:U2"/>
  <sheetViews>
    <sheetView workbookViewId="0">
      <selection activeCell="F2" sqref="F2"/>
    </sheetView>
  </sheetViews>
  <sheetFormatPr defaultRowHeight="15" x14ac:dyDescent="0.25"/>
  <cols>
    <col min="5" max="5" width="18.140625" customWidth="1"/>
    <col min="6" max="6" width="14.42578125" bestFit="1" customWidth="1"/>
    <col min="14" max="14" width="10.85546875" bestFit="1" customWidth="1"/>
  </cols>
  <sheetData>
    <row r="1" spans="1:21" x14ac:dyDescent="0.25">
      <c r="A1" t="s">
        <v>11</v>
      </c>
      <c r="H1" t="s">
        <v>15</v>
      </c>
      <c r="N1" t="s">
        <v>20</v>
      </c>
      <c r="T1" t="s">
        <v>31</v>
      </c>
    </row>
    <row r="2" spans="1:21" x14ac:dyDescent="0.25">
      <c r="A2" t="s">
        <v>13</v>
      </c>
      <c r="B2" t="s">
        <v>12</v>
      </c>
      <c r="C2" t="s">
        <v>14</v>
      </c>
      <c r="D2" t="s">
        <v>34</v>
      </c>
      <c r="E2" t="s">
        <v>26</v>
      </c>
      <c r="F2" t="s">
        <v>32</v>
      </c>
      <c r="H2" t="s">
        <v>12</v>
      </c>
      <c r="I2" t="s">
        <v>16</v>
      </c>
      <c r="J2" t="s">
        <v>17</v>
      </c>
      <c r="K2" t="s">
        <v>18</v>
      </c>
      <c r="N2" t="s">
        <v>21</v>
      </c>
      <c r="O2" t="s">
        <v>22</v>
      </c>
      <c r="P2" t="s">
        <v>23</v>
      </c>
      <c r="Q2" t="s">
        <v>12</v>
      </c>
      <c r="R2" t="s">
        <v>24</v>
      </c>
      <c r="T2" t="s">
        <v>32</v>
      </c>
      <c r="U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DDL</vt:lpstr>
      <vt:lpstr>Cust_Tables</vt:lpstr>
      <vt:lpstr>Sales_Tables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2025-12-14T18:29:37Z</dcterms:created>
  <dcterms:modified xsi:type="dcterms:W3CDTF">2026-01-03T07:02:24Z</dcterms:modified>
</cp:coreProperties>
</file>